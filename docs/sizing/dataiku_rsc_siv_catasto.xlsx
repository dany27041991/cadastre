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oglio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</fonts>
  <fills count="5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8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0" borderId="1" pivotButton="0" quotePrefix="0" xfId="0"/>
    <xf numFmtId="0" fontId="0" fillId="3" borderId="4" pivotButton="0" quotePrefix="0" xfId="0"/>
    <xf numFmtId="0" fontId="0" fillId="0" borderId="5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2" fillId="4" borderId="3" applyAlignment="1" pivotButton="0" quotePrefix="0" xfId="0">
      <alignment horizontal="center"/>
    </xf>
    <xf numFmtId="0" fontId="2" fillId="4" borderId="6" applyAlignment="1" pivotButton="0" quotePrefix="0" xfId="0">
      <alignment horizontal="center"/>
    </xf>
    <xf numFmtId="0" fontId="0" fillId="0" borderId="3" pivotButton="0" quotePrefix="0" xfId="0"/>
  </cellXfs>
  <cellStyles count="1">
    <cellStyle name="Normale" xfId="0" builtinId="0"/>
  </cellStyles>
  <dxfs count="22"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border outline="0">
        <left/>
        <right/>
        <top style="thick">
          <color indexed="64"/>
        </top>
        <bottom/>
      </border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border outline="0">
        <left/>
        <right/>
        <top style="thick">
          <color indexed="64"/>
        </top>
        <bottom/>
      </border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border outline="0">
        <left/>
        <right/>
        <top style="thick">
          <color indexed="64"/>
        </top>
        <bottom/>
      </border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border outline="0">
        <left/>
        <right/>
        <top style="thick">
          <color indexed="64"/>
        </top>
        <bottom/>
      </border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border outline="0">
        <left/>
        <right/>
        <top style="thick">
          <color indexed="64"/>
        </top>
        <bottom/>
      </border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theme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a1" displayName="Tabella1" ref="A2:E4" headerRowCount="1" totalsRowCount="1" dataDxfId="21" totalsRowDxfId="20">
  <autoFilter ref="A2:E20"/>
  <tableColumns count="5">
    <tableColumn id="1" name="ALGORITHM" totalsRowLabel="TOT." dataDxfId="19" totalsRowDxfId="18"/>
    <tableColumn id="2" name="CPU Request (vCore)" totalsRowFunction="custom" dataDxfId="17" totalsRowDxfId="16">
      <totalsRowFormula>SUM(Tabella1[CPU Request (vCore)])</totalsRowFormula>
    </tableColumn>
    <tableColumn id="3" name="CPU Limit (vCore)" totalsRowFunction="custom" dataDxfId="15" totalsRowDxfId="14">
      <totalsRowFormula>SUM(Tabella1[CPU Limit (vCore)])</totalsRowFormula>
    </tableColumn>
    <tableColumn id="4" name="RAM Request (GB)" totalsRowFunction="custom" dataDxfId="13" totalsRowDxfId="12">
      <totalsRowFormula>SUM(Tabella1[RAM Request (GB)])</totalsRowFormula>
    </tableColumn>
    <tableColumn id="5" name="RAM Limit (GB)" totalsRowFunction="custom" dataDxfId="11" totalsRowDxfId="10">
      <totalsRowFormula>SUM(Tabella1[RAM Limit (GB)])</totalsRowFormula>
    </tableColumn>
  </tableColumns>
  <tableStyleInfo name="TableStyleDark5" showFirstColumn="0" showLastColumn="0" showRowStripes="1" showColumnStripes="0"/>
</table>
</file>

<file path=xl/tables/table2.xml><?xml version="1.0" encoding="utf-8"?>
<table xmlns="http://schemas.openxmlformats.org/spreadsheetml/2006/main" id="2" name="Tabella24" displayName="Tabella24" ref="G2:N3" headerRowCount="1" totalsRowShown="0" headerRowDxfId="9" dataDxfId="8">
  <autoFilter ref="G2:N5"/>
  <tableColumns count="8">
    <tableColumn id="1" name="Tipo workload" dataDxfId="7"/>
    <tableColumn id="2" name="CU rappresentativi" dataDxfId="6"/>
    <tableColumn id="3" name="Descrizione" dataDxfId="5"/>
    <tableColumn id="4" name="CPU (vCore)" dataDxfId="4"/>
    <tableColumn id="5" name="RAM (GB)" dataDxfId="3"/>
    <tableColumn id="6" name="Numero parallelo" dataDxfId="2"/>
    <tableColumn id="7" name="Totale CPU" dataDxfId="1"/>
    <tableColumn id="8" name="Totale RA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tabSelected="1" workbookViewId="0">
      <selection activeCell="O8" sqref="O8"/>
    </sheetView>
  </sheetViews>
  <sheetFormatPr baseColWidth="8" defaultRowHeight="15"/>
  <cols>
    <col width="29.28515625" customWidth="1" min="1" max="1"/>
    <col width="21.42578125" customWidth="1" min="2" max="2"/>
    <col width="18.85546875" customWidth="1" min="3" max="3"/>
    <col width="19.28515625" customWidth="1" min="4" max="4"/>
    <col width="16.42578125" customWidth="1" min="5" max="5"/>
    <col width="15.7109375" customWidth="1" min="7" max="7"/>
    <col width="19.7109375" customWidth="1" min="8" max="8"/>
    <col width="13.42578125" customWidth="1" min="9" max="9"/>
    <col width="13.85546875" customWidth="1" min="10" max="10"/>
    <col width="11.85546875" customWidth="1" min="11" max="11"/>
    <col width="18.7109375" customWidth="1" min="12" max="12"/>
    <col width="12.85546875" customWidth="1" min="13" max="13"/>
    <col width="13.42578125" customWidth="1" min="14" max="14"/>
  </cols>
  <sheetData>
    <row r="1">
      <c r="A1" s="8" t="inlineStr">
        <is>
          <t>DATAIKU RSC - COLLAUDO / PRODUCTION (SIV - iTree)</t>
        </is>
      </c>
    </row>
    <row r="2">
      <c r="A2" t="inlineStr">
        <is>
          <t>ALGORITHM</t>
        </is>
      </c>
      <c r="B2" t="inlineStr">
        <is>
          <t>CPU Request (vCore)</t>
        </is>
      </c>
      <c r="C2" t="inlineStr">
        <is>
          <t>CPU Limit (vCore)</t>
        </is>
      </c>
      <c r="D2" t="inlineStr">
        <is>
          <t>RAM Request (GB)</t>
        </is>
      </c>
      <c r="E2" t="inlineStr">
        <is>
          <t>RAM Limit (GB)</t>
        </is>
      </c>
      <c r="G2" s="5" t="inlineStr">
        <is>
          <t>Tipo workload</t>
        </is>
      </c>
      <c r="H2" s="5" t="inlineStr">
        <is>
          <t>CU rappresentativi</t>
        </is>
      </c>
      <c r="I2" s="5" t="inlineStr">
        <is>
          <t>Descrizione</t>
        </is>
      </c>
      <c r="J2" s="5" t="inlineStr">
        <is>
          <t>CPU (vCore)</t>
        </is>
      </c>
      <c r="K2" s="5" t="inlineStr">
        <is>
          <t>RAM (GB)</t>
        </is>
      </c>
      <c r="L2" s="5" t="inlineStr">
        <is>
          <t>Numero parallelo</t>
        </is>
      </c>
      <c r="M2" s="5" t="inlineStr">
        <is>
          <t>Totale CPU</t>
        </is>
      </c>
      <c r="N2" s="5" t="inlineStr">
        <is>
          <t>Totale RAM</t>
        </is>
      </c>
    </row>
    <row r="3">
      <c r="A3" s="1" t="inlineStr">
        <is>
          <t>iTree</t>
        </is>
      </c>
      <c r="B3" s="7" t="n">
        <v>1</v>
      </c>
      <c r="C3" s="1" t="n">
        <v>2</v>
      </c>
      <c r="D3" s="1" t="n">
        <v>4</v>
      </c>
      <c r="E3" s="1" t="n">
        <v>8</v>
      </c>
      <c r="G3" s="6" t="inlineStr">
        <is>
          <t>Light</t>
        </is>
      </c>
      <c r="H3" s="6" t="inlineStr">
        <is>
          <t>SIV</t>
        </is>
      </c>
      <c r="I3" s="6" t="inlineStr">
        <is>
          <t>iTree — servizi ecosistemici (CO2, stormwater, energy)</t>
        </is>
      </c>
      <c r="J3" s="6" t="n">
        <v>2</v>
      </c>
      <c r="K3" s="6" t="n">
        <v>8</v>
      </c>
      <c r="L3" s="6" t="n">
        <v>2</v>
      </c>
      <c r="M3" s="6" t="n">
        <v>4</v>
      </c>
      <c r="N3" s="6" t="n">
        <v>16</v>
      </c>
    </row>
    <row r="4" ht="30" customHeight="1">
      <c r="A4" s="1" t="inlineStr">
        <is>
          <t>TOT.</t>
        </is>
      </c>
      <c r="B4" s="1">
        <f>SUM(Tabella1[CPU Request (vCore)])</f>
        <v/>
      </c>
      <c r="C4" s="1">
        <f>SUM(Tabella1[CPU Limit (vCore)])</f>
        <v/>
      </c>
      <c r="D4" s="1">
        <f>SUM(Tabella1[RAM Request (GB)])</f>
        <v/>
      </c>
      <c r="E4" s="1">
        <f>SUM(Tabella1[RAM Limit (GB)])</f>
        <v/>
      </c>
      <c r="G4" s="6" t="n"/>
      <c r="H4" s="6" t="n"/>
      <c r="I4" s="6" t="n"/>
      <c r="J4" s="6" t="n"/>
      <c r="K4" s="6" t="n"/>
      <c r="L4" s="6" t="n"/>
      <c r="M4" s="6" t="n"/>
      <c r="N4" s="6" t="n"/>
    </row>
    <row r="5" ht="30" customHeight="1">
      <c r="A5" s="1" t="n"/>
      <c r="B5" s="1" t="n"/>
      <c r="C5" s="1" t="n"/>
      <c r="D5" s="1" t="n"/>
      <c r="E5" s="1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1" t="n"/>
      <c r="B6" s="1" t="n"/>
      <c r="C6" s="1" t="n"/>
      <c r="D6" s="1" t="n"/>
      <c r="E6" s="1" t="n"/>
    </row>
    <row r="7">
      <c r="A7" s="1" t="n"/>
      <c r="B7" s="1" t="n"/>
      <c r="C7" s="1" t="n"/>
      <c r="D7" s="1" t="n"/>
      <c r="E7" s="1" t="n"/>
    </row>
    <row r="8">
      <c r="A8" s="1" t="n"/>
      <c r="B8" s="1" t="n"/>
      <c r="C8" s="1" t="n"/>
      <c r="D8" s="1" t="n"/>
      <c r="E8" s="1" t="n"/>
    </row>
    <row r="9">
      <c r="A9" s="1" t="n"/>
      <c r="B9" s="1" t="n"/>
      <c r="C9" s="1" t="n"/>
      <c r="D9" s="1" t="n"/>
      <c r="E9" s="1" t="n"/>
    </row>
    <row r="10">
      <c r="A10" s="1" t="n"/>
      <c r="B10" s="1" t="n"/>
      <c r="C10" s="1" t="n"/>
      <c r="D10" s="1" t="n"/>
      <c r="E10" s="1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1" t="n"/>
      <c r="B11" s="1" t="n"/>
      <c r="C11" s="1" t="n"/>
      <c r="D11" s="1" t="n"/>
      <c r="E11" s="1" t="n"/>
      <c r="G11" s="6" t="n"/>
      <c r="H11" s="6" t="n"/>
      <c r="I11" s="6" t="n"/>
      <c r="J11" s="6" t="n"/>
      <c r="K11" s="6" t="n"/>
      <c r="L11" s="6" t="n"/>
      <c r="M11" s="6" t="n"/>
      <c r="N11" s="6" t="n"/>
    </row>
    <row r="12">
      <c r="A12" s="1" t="n"/>
      <c r="B12" s="1" t="n"/>
      <c r="C12" s="1" t="n"/>
      <c r="D12" s="1" t="n"/>
      <c r="E12" s="1" t="n"/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1" t="n"/>
      <c r="B13" s="1" t="n"/>
      <c r="C13" s="1" t="n"/>
      <c r="D13" s="1" t="n"/>
      <c r="E13" s="1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1" t="n"/>
      <c r="B14" s="1" t="n"/>
      <c r="C14" s="1" t="n"/>
      <c r="D14" s="1" t="n"/>
      <c r="E14" s="1" t="n"/>
    </row>
    <row r="15">
      <c r="A15" s="1" t="n"/>
      <c r="B15" s="1" t="n"/>
      <c r="C15" s="1" t="n"/>
      <c r="D15" s="1" t="n"/>
      <c r="E15" s="1" t="n"/>
    </row>
    <row r="16">
      <c r="A16" s="1" t="n"/>
      <c r="B16" s="1" t="n"/>
      <c r="C16" s="1" t="n"/>
      <c r="D16" s="1" t="n"/>
      <c r="E16" s="1" t="n"/>
    </row>
    <row r="17">
      <c r="A17" s="1" t="n"/>
      <c r="B17" s="1" t="n"/>
      <c r="C17" s="1" t="n"/>
      <c r="D17" s="1" t="n"/>
      <c r="E17" s="1" t="n"/>
    </row>
    <row r="18">
      <c r="A18" s="1" t="n"/>
      <c r="B18" s="1" t="n"/>
      <c r="C18" s="1" t="n"/>
      <c r="D18" s="1" t="n"/>
      <c r="E18" s="1" t="n"/>
    </row>
    <row r="19">
      <c r="A19" s="1" t="n"/>
      <c r="B19" s="1" t="n"/>
      <c r="C19" s="1" t="n"/>
      <c r="D19" s="1" t="n"/>
      <c r="E19" s="1" t="n"/>
    </row>
    <row r="20" ht="15.75" customHeight="1" thickBot="1">
      <c r="A20" s="1" t="n"/>
      <c r="B20" s="1" t="n"/>
      <c r="C20" s="1" t="n"/>
      <c r="D20" s="1" t="n"/>
      <c r="E20" s="1" t="n"/>
    </row>
    <row r="21" ht="15.75" customHeight="1" thickTop="1">
      <c r="A21" s="2" t="n"/>
      <c r="B21" s="2" t="n"/>
      <c r="C21" s="2" t="n"/>
      <c r="D21" s="2" t="n"/>
      <c r="E21" s="2" t="n"/>
    </row>
    <row r="22">
      <c r="A22" t="inlineStr">
        <is>
          <t>Note: Dimensionamento Dataiku per modello iTree (ecosystem services). Batch per comune su inventario arboreo censito (~8.4M alberi nazionali).</t>
        </is>
      </c>
    </row>
    <row r="23" ht="15.75" customHeight="1" thickBot="1"/>
    <row r="24">
      <c r="A24" s="11" t="inlineStr">
        <is>
          <t>Stima (Collaudo / Production)</t>
        </is>
      </c>
      <c r="B24" s="12" t="n"/>
      <c r="D24" s="11" t="inlineStr">
        <is>
          <t>Stima (Production Safe)</t>
        </is>
      </c>
      <c r="E24" s="12" t="n"/>
    </row>
    <row r="25">
      <c r="A25" s="3" t="inlineStr">
        <is>
          <t>CPU (vCore)</t>
        </is>
      </c>
      <c r="B25" s="4" t="n">
        <v>4</v>
      </c>
      <c r="D25" s="3" t="inlineStr">
        <is>
          <t>CPU (vCore)</t>
        </is>
      </c>
      <c r="E25" s="4" t="n">
        <v>8</v>
      </c>
    </row>
    <row r="26">
      <c r="A26" s="3" t="inlineStr">
        <is>
          <t>RAM (GB)</t>
        </is>
      </c>
      <c r="B26" s="4" t="n">
        <v>16</v>
      </c>
      <c r="D26" s="3" t="inlineStr">
        <is>
          <t>RAM (GB)</t>
        </is>
      </c>
      <c r="E26" s="4" t="n">
        <v>32</v>
      </c>
    </row>
    <row r="28">
      <c r="A28" t="inlineStr">
        <is>
          <t>Considerato il supporto alla concorrenza</t>
        </is>
      </c>
    </row>
    <row r="29">
      <c r="A29" t="inlineStr">
        <is>
          <t>Quota iTree condivisa ambiente Dataiku SIV. Elaborazioni batch leggero/medio; da rivedere con volumetrie effettive per comune.</t>
        </is>
      </c>
    </row>
  </sheetData>
  <mergeCells count="3">
    <mergeCell ref="A1:E1"/>
    <mergeCell ref="A24:B24"/>
    <mergeCell ref="D24:E24"/>
  </mergeCells>
  <pageMargins left="0.7" right="0.7" top="0.75" bottom="0.75" header="0.3" footer="0.3"/>
  <pageSetup orientation="portrait" paperSize="9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Francesco Durante</dc:creator>
  <dcterms:created xmlns:dcterms="http://purl.org/dc/terms/" xmlns:xsi="http://www.w3.org/2001/XMLSchema-instance" xsi:type="dcterms:W3CDTF">2026-03-30T10:04:23Z</dcterms:created>
  <dcterms:modified xmlns:dcterms="http://purl.org/dc/terms/" xmlns:xsi="http://www.w3.org/2001/XMLSchema-instance" xsi:type="dcterms:W3CDTF">2026-07-15T09:02:59Z</dcterms:modified>
  <cp:lastModifiedBy>Francesco Durante</cp:lastModifiedBy>
</cp:coreProperties>
</file>